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M\Documents\big_data\matematicas\analisis_estadistico\"/>
    </mc:Choice>
  </mc:AlternateContent>
  <xr:revisionPtr revIDLastSave="0" documentId="13_ncr:1_{D2FC471D-5408-4BC4-A535-2190AE8C177C}" xr6:coauthVersionLast="47" xr6:coauthVersionMax="47" xr10:uidLastSave="{00000000-0000-0000-0000-000000000000}"/>
  <bookViews>
    <workbookView xWindow="-108" yWindow="-108" windowWidth="30936" windowHeight="16776" activeTab="4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'1_Precios'!$B$5:$B$46</definedName>
    <definedName name="_xlchart.v1.2" hidden="1">'4_Probabilidad'!$D$6:$D$8</definedName>
    <definedName name="_xlchart.v1.3" hidden="1">'4_Probabilidad'!$E$6:$E$8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5" l="1"/>
  <c r="G8" i="5"/>
  <c r="G9" i="5"/>
  <c r="G6" i="5"/>
  <c r="E6" i="5"/>
  <c r="E9" i="5" s="1"/>
  <c r="F8" i="5"/>
  <c r="F7" i="5"/>
  <c r="E3" i="5"/>
  <c r="E8" i="5"/>
  <c r="E7" i="5"/>
  <c r="E13" i="4"/>
  <c r="E16" i="4"/>
  <c r="E15" i="4"/>
  <c r="E14" i="4"/>
  <c r="E12" i="4"/>
  <c r="E7" i="4"/>
  <c r="E7" i="2"/>
  <c r="E6" i="4"/>
  <c r="E6" i="2"/>
  <c r="E5" i="4"/>
  <c r="E5" i="2"/>
  <c r="F8" i="3"/>
  <c r="F7" i="3"/>
  <c r="F6" i="3"/>
  <c r="E8" i="2"/>
  <c r="F5" i="3"/>
  <c r="F6" i="5" l="1"/>
  <c r="F9" i="5" s="1"/>
</calcChain>
</file>

<file path=xl/sharedStrings.xml><?xml version="1.0" encoding="utf-8"?>
<sst xmlns="http://schemas.openxmlformats.org/spreadsheetml/2006/main" count="572" uniqueCount="154">
  <si>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</si>
  <si>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</si>
  <si>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</si>
  <si>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</si>
  <si>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</si>
  <si>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</si>
  <si>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</si>
  <si>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</si>
  <si>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</si>
  <si>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</si>
  <si>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</si>
  <si>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</si>
  <si>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</si>
  <si>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</si>
  <si>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</si>
  <si>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</si>
  <si>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</si>
  <si>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</si>
  <si>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</si>
  <si>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</si>
  <si>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</si>
  <si>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</si>
  <si>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</si>
  <si>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</si>
  <si>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</si>
  <si>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</si>
  <si>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</si>
  <si>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</si>
  <si>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</si>
  <si>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</si>
  <si>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</si>
  <si>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</si>
  <si>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</si>
  <si>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</si>
  <si>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</si>
  <si>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</si>
  <si>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</si>
  <si>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</si>
  <si>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</si>
  <si>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</si>
  <si>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</si>
  <si>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</si>
  <si>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</si>
  <si>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</si>
  <si>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</si>
  <si>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</si>
  <si>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</si>
  <si>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</si>
  <si>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</si>
  <si>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</si>
  <si>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</si>
  <si>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</si>
  <si>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</si>
  <si>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</si>
  <si>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</si>
  <si>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</si>
  <si>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</si>
  <si>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</si>
  <si>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</si>
  <si>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</si>
  <si>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</si>
  <si>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</si>
  <si>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</si>
  <si>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</si>
  <si>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</si>
  <si>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</si>
  <si>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</si>
  <si>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</si>
  <si>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</si>
  <si>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</si>
  <si>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</si>
  <si>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</si>
  <si>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</si>
  <si>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</si>
  <si>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</si>
  <si>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</si>
  <si>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</si>
  <si>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</si>
  <si>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</si>
  <si>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</si>
  <si>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</si>
  <si>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</si>
  <si>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</si>
  <si>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</si>
  <si>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</si>
  <si>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</si>
  <si>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</si>
  <si>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</si>
  <si>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</si>
  <si>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</si>
  <si>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</si>
  <si>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</si>
  <si>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</si>
  <si>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</si>
  <si>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</si>
  <si>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</si>
  <si>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</si>
  <si>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</si>
  <si>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</si>
  <si>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</si>
  <si>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</si>
  <si>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</si>
  <si>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</si>
  <si>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</si>
  <si>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</si>
  <si>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</si>
  <si>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</si>
  <si>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</si>
  <si>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</si>
  <si>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</si>
  <si>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</si>
  <si>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</si>
  <si>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</si>
  <si>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</si>
  <si>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</si>
  <si>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</si>
  <si>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</si>
  <si>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</si>
  <si>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</si>
  <si>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</si>
  <si>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</si>
  <si>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</si>
  <si>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</si>
  <si>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</si>
  <si>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</si>
  <si>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</si>
  <si>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</si>
  <si>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</si>
  <si>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</si>
  <si>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</si>
  <si>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</si>
  <si>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</si>
  <si>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</si>
  <si>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</si>
  <si>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</si>
  <si>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</si>
  <si>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</si>
  <si>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</si>
  <si>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</si>
  <si>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</si>
  <si>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</si>
  <si>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</si>
  <si>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</si>
  <si>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</si>
  <si>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</si>
  <si>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</si>
  <si>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</si>
  <si>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</si>
  <si>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</si>
  <si>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</si>
  <si>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18 Euros es el producto que más se ha comprado</t>
  </si>
  <si>
    <t>Media y mediana no son parecida, esto inplica muchos valores extremos</t>
  </si>
  <si>
    <t>Sobre todo en la parte alta, que distorciona la media.</t>
  </si>
  <si>
    <t>El precio medio de nuestra tienda es 35 (Mediana)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</si>
</sst>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Dispersión:</a:t>
            </a:r>
            <a:r>
              <a:rPr lang="es-ES" baseline="0"/>
              <a:t> Coste vs Beneficio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C0-4957-935D-9E63E1CF4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384847"/>
        <c:axId val="642390607"/>
      </c:scatterChart>
      <c:valAx>
        <c:axId val="642384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2390607"/>
        <c:crosses val="autoZero"/>
        <c:crossBetween val="midCat"/>
      </c:valAx>
      <c:valAx>
        <c:axId val="64239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2384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aseline="0"/>
              <a:t>Distribucción de Satisfacción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'3_Satisfaccion'!$D$12:$D$16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'3_Satisfaccion'!$E$12:$E$16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19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06-4089-BB78-7CE3909CC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2854128"/>
        <c:axId val="1722852208"/>
      </c:barChart>
      <c:catAx>
        <c:axId val="1722854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2852208"/>
        <c:crosses val="autoZero"/>
        <c:auto val="1"/>
        <c:lblAlgn val="ctr"/>
        <c:lblOffset val="100"/>
        <c:noMultiLvlLbl val="0"/>
      </c:catAx>
      <c:valAx>
        <c:axId val="172285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2854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Probabilidad</a:t>
            </a:r>
            <a:r>
              <a:rPr lang="es-ES" baseline="0"/>
              <a:t> /Ventas por canal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'4_Probabilidad'!$D$6:$D$8</c:f>
              <c:strCache>
                <c:ptCount val="3"/>
                <c:pt idx="0">
                  <c:v>App</c:v>
                </c:pt>
                <c:pt idx="1">
                  <c:v>Web</c:v>
                </c:pt>
                <c:pt idx="2">
                  <c:v>Tienda</c:v>
                </c:pt>
              </c:strCache>
            </c:strRef>
          </c:cat>
          <c:val>
            <c:numRef>
              <c:f>'4_Probabilidad'!$E$6:$E$8</c:f>
              <c:numCache>
                <c:formatCode>General</c:formatCode>
                <c:ptCount val="3"/>
                <c:pt idx="0">
                  <c:v>11</c:v>
                </c:pt>
                <c:pt idx="1">
                  <c:v>17</c:v>
                </c:pt>
                <c:pt idx="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23-4A40-A904-0DF6460BAE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Histograma de precios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Histograma de precios</a:t>
          </a:r>
        </a:p>
      </cx:txPr>
    </cx:title>
    <cx:plotArea>
      <cx:plotAreaRegion>
        <cx:series layoutId="clusteredColumn" uniqueId="{967C21E4-8A90-4B51-AE1E-E3C6500796EF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5442</xdr:colOff>
      <xdr:row>12</xdr:row>
      <xdr:rowOff>2720</xdr:rowOff>
    </xdr:from>
    <xdr:to>
      <xdr:col>8</xdr:col>
      <xdr:colOff>277585</xdr:colOff>
      <xdr:row>26</xdr:row>
      <xdr:rowOff>179614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AA995FD-664B-E2F9-51B8-25363624A1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7402" y="2243000"/>
              <a:ext cx="4569823" cy="273721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171450</xdr:rowOff>
    </xdr:from>
    <xdr:to>
      <xdr:col>13</xdr:col>
      <xdr:colOff>15240</xdr:colOff>
      <xdr:row>35</xdr:row>
      <xdr:rowOff>30480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482882-14F9-D2B6-0402-7B279345D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12700</xdr:colOff>
      <xdr:row>19</xdr:row>
      <xdr:rowOff>171450</xdr:rowOff>
    </xdr:from>
    <xdr:to>
      <xdr:col>5</xdr:col>
      <xdr:colOff>6350</xdr:colOff>
      <xdr:row>35</xdr:row>
      <xdr:rowOff>6350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A536012-38AD-6E43-3603-6841D2FA22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18</xdr:row>
      <xdr:rowOff>171450</xdr:rowOff>
    </xdr:from>
    <xdr:to>
      <xdr:col>4</xdr:col>
      <xdr:colOff>7620</xdr:colOff>
      <xdr:row>34</xdr:row>
      <xdr:rowOff>7620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B537D5F-E705-8FD7-FFCB-9FB96F633B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27" sqref="P27"/>
    </sheetView>
  </sheetViews>
  <sheetFormatPr baseColWidth="10" defaultColWidth="8.77734375" defaultRowHeight="14.4" x14ac:dyDescent="0.3"/>
  <cols>
    <col min="2" max="2" width="10.33203125" bestFit="1" customWidth="1"/>
    <col min="3" max="3" width="23.21875" bestFit="1" customWidth="1"/>
    <col min="4" max="4" width="10.109375" bestFit="1" customWidth="1"/>
    <col min="6" max="6" width="14" bestFit="1" customWidth="1"/>
    <col min="9" max="9" width="10" bestFit="1" customWidth="1"/>
    <col min="13" max="13" width="14.77734375" bestFit="1" customWidth="1"/>
    <col min="14" max="14" width="10.44140625" bestFit="1" customWidth="1"/>
  </cols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140" zoomScaleNormal="140" workbookViewId="0">
      <selection activeCell="E8" sqref="E8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4" x14ac:dyDescent="0.3">
      <c r="A17" t="s">
        <v>68</v>
      </c>
      <c r="B17">
        <v>20</v>
      </c>
    </row>
    <row r="18" spans="1:4" x14ac:dyDescent="0.3">
      <c r="A18" t="s">
        <v>69</v>
      </c>
      <c r="B18">
        <v>42</v>
      </c>
    </row>
    <row r="19" spans="1:4" x14ac:dyDescent="0.3">
      <c r="A19" t="s">
        <v>70</v>
      </c>
      <c r="B19">
        <v>8</v>
      </c>
    </row>
    <row r="20" spans="1:4" x14ac:dyDescent="0.3">
      <c r="A20" t="s">
        <v>71</v>
      </c>
      <c r="B20">
        <v>12</v>
      </c>
    </row>
    <row r="21" spans="1:4" x14ac:dyDescent="0.3">
      <c r="A21" t="s">
        <v>72</v>
      </c>
      <c r="B21">
        <v>18</v>
      </c>
    </row>
    <row r="22" spans="1:4" x14ac:dyDescent="0.3">
      <c r="A22" t="s">
        <v>73</v>
      </c>
      <c r="B22">
        <v>95</v>
      </c>
    </row>
    <row r="23" spans="1:4" x14ac:dyDescent="0.3">
      <c r="A23" t="s">
        <v>74</v>
      </c>
      <c r="B23">
        <v>45</v>
      </c>
    </row>
    <row r="24" spans="1:4" x14ac:dyDescent="0.3">
      <c r="A24" t="s">
        <v>75</v>
      </c>
      <c r="B24">
        <v>60</v>
      </c>
    </row>
    <row r="25" spans="1:4" x14ac:dyDescent="0.3">
      <c r="A25" t="s">
        <v>76</v>
      </c>
      <c r="B25">
        <v>10</v>
      </c>
    </row>
    <row r="26" spans="1:4" x14ac:dyDescent="0.3">
      <c r="A26" t="s">
        <v>77</v>
      </c>
      <c r="B26">
        <v>35</v>
      </c>
    </row>
    <row r="27" spans="1:4" x14ac:dyDescent="0.3">
      <c r="A27" t="s">
        <v>78</v>
      </c>
      <c r="B27">
        <v>15</v>
      </c>
    </row>
    <row r="28" spans="1:4" x14ac:dyDescent="0.3">
      <c r="A28" t="s">
        <v>79</v>
      </c>
      <c r="B28">
        <v>18</v>
      </c>
    </row>
    <row r="29" spans="1:4" x14ac:dyDescent="0.3">
      <c r="A29" t="s">
        <v>80</v>
      </c>
      <c r="B29">
        <v>120</v>
      </c>
      <c r="D29" s="9" t="s">
        <v>150</v>
      </c>
    </row>
    <row r="30" spans="1:4" x14ac:dyDescent="0.3">
      <c r="A30" t="s">
        <v>81</v>
      </c>
      <c r="B30">
        <v>6</v>
      </c>
      <c r="D30" s="9" t="s">
        <v>151</v>
      </c>
    </row>
    <row r="31" spans="1:4" x14ac:dyDescent="0.3">
      <c r="A31" t="s">
        <v>82</v>
      </c>
      <c r="B31">
        <v>12</v>
      </c>
      <c r="D31" s="9" t="s">
        <v>152</v>
      </c>
    </row>
    <row r="32" spans="1:4" x14ac:dyDescent="0.3">
      <c r="A32" t="s">
        <v>83</v>
      </c>
      <c r="B32">
        <v>30</v>
      </c>
      <c r="D32" s="9" t="s">
        <v>153</v>
      </c>
    </row>
    <row r="33" spans="1:2" x14ac:dyDescent="0.3">
      <c r="A33" t="s">
        <v>84</v>
      </c>
      <c r="B33">
        <v>25</v>
      </c>
    </row>
    <row r="34" spans="1:2" x14ac:dyDescent="0.3">
      <c r="A34" t="s">
        <v>85</v>
      </c>
      <c r="B34">
        <v>22</v>
      </c>
    </row>
    <row r="35" spans="1:2" x14ac:dyDescent="0.3">
      <c r="A35" t="s">
        <v>86</v>
      </c>
      <c r="B35">
        <v>8</v>
      </c>
    </row>
    <row r="36" spans="1:2" x14ac:dyDescent="0.3">
      <c r="A36" t="s">
        <v>87</v>
      </c>
      <c r="B36">
        <v>28</v>
      </c>
    </row>
    <row r="37" spans="1:2" x14ac:dyDescent="0.3">
      <c r="A37" t="s">
        <v>88</v>
      </c>
      <c r="B37">
        <v>20</v>
      </c>
    </row>
    <row r="38" spans="1:2" x14ac:dyDescent="0.3">
      <c r="A38" t="s">
        <v>89</v>
      </c>
      <c r="B38">
        <v>150</v>
      </c>
    </row>
    <row r="39" spans="1:2" x14ac:dyDescent="0.3">
      <c r="A39" t="s">
        <v>90</v>
      </c>
      <c r="B39">
        <v>300</v>
      </c>
    </row>
    <row r="40" spans="1:2" x14ac:dyDescent="0.3">
      <c r="A40" t="s">
        <v>91</v>
      </c>
      <c r="B40">
        <v>85</v>
      </c>
    </row>
    <row r="41" spans="1:2" x14ac:dyDescent="0.3">
      <c r="A41" t="s">
        <v>92</v>
      </c>
      <c r="B41">
        <v>50</v>
      </c>
    </row>
    <row r="42" spans="1:2" x14ac:dyDescent="0.3">
      <c r="A42" t="s">
        <v>93</v>
      </c>
      <c r="B42">
        <v>40</v>
      </c>
    </row>
    <row r="43" spans="1:2" x14ac:dyDescent="0.3">
      <c r="A43" t="s">
        <v>94</v>
      </c>
      <c r="B43">
        <v>35</v>
      </c>
    </row>
    <row r="44" spans="1:2" x14ac:dyDescent="0.3">
      <c r="A44" t="s">
        <v>95</v>
      </c>
      <c r="B44">
        <v>130</v>
      </c>
    </row>
    <row r="45" spans="1:2" x14ac:dyDescent="0.3">
      <c r="A45" t="s">
        <v>95</v>
      </c>
      <c r="B45">
        <v>130</v>
      </c>
    </row>
    <row r="46" spans="1:2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workbookViewId="0">
      <selection activeCell="B15" sqref="B15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15.664062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>
        <f>AVERAGE(C5:C46)</f>
        <v>32.511904761904759</v>
      </c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>
        <f>_xlfn.STDEV.S(C5:C46)</f>
        <v>20.550499399082351</v>
      </c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>
        <f>MIN(C5:C46)</f>
        <v>10</v>
      </c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>
        <f>MAX(C5:C46)</f>
        <v>120</v>
      </c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topLeftCell="A6" zoomScale="120" zoomScaleNormal="120" workbookViewId="0">
      <selection activeCell="D37" sqref="D37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60.44140625" bestFit="1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>
        <f>AVERAGE(B5:B46)</f>
        <v>4.2857142857142856</v>
      </c>
    </row>
    <row r="6" spans="1:5" x14ac:dyDescent="0.3">
      <c r="A6" t="s">
        <v>57</v>
      </c>
      <c r="B6">
        <v>5</v>
      </c>
      <c r="D6" s="3" t="s">
        <v>124</v>
      </c>
      <c r="E6" s="4">
        <f>MEDIAN(B5:B46)</f>
        <v>4</v>
      </c>
    </row>
    <row r="7" spans="1:5" x14ac:dyDescent="0.3">
      <c r="A7" t="s">
        <v>58</v>
      </c>
      <c r="B7">
        <v>4</v>
      </c>
      <c r="D7" s="3" t="s">
        <v>125</v>
      </c>
      <c r="E7" s="4">
        <f>_xlfn.MODE.SNGL(B5:B46)</f>
        <v>4</v>
      </c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>
        <f>COUNTIF(B5:B46,1)</f>
        <v>0</v>
      </c>
    </row>
    <row r="13" spans="1:5" x14ac:dyDescent="0.3">
      <c r="A13" t="s">
        <v>64</v>
      </c>
      <c r="B13">
        <v>5</v>
      </c>
      <c r="D13" s="3">
        <v>2</v>
      </c>
      <c r="E13" s="4">
        <f>COUNTIF(B5:B46,2)</f>
        <v>1</v>
      </c>
    </row>
    <row r="14" spans="1:5" x14ac:dyDescent="0.3">
      <c r="A14" t="s">
        <v>65</v>
      </c>
      <c r="B14">
        <v>4</v>
      </c>
      <c r="D14" s="3">
        <v>3</v>
      </c>
      <c r="E14" s="4">
        <f>COUNTIF(B5:B46,3)</f>
        <v>4</v>
      </c>
    </row>
    <row r="15" spans="1:5" x14ac:dyDescent="0.3">
      <c r="A15" t="s">
        <v>66</v>
      </c>
      <c r="B15">
        <v>5</v>
      </c>
      <c r="D15" s="3">
        <v>4</v>
      </c>
      <c r="E15" s="4">
        <f>COUNTIF(B5:B46,4)</f>
        <v>19</v>
      </c>
    </row>
    <row r="16" spans="1:5" x14ac:dyDescent="0.3">
      <c r="A16" t="s">
        <v>67</v>
      </c>
      <c r="B16">
        <v>2</v>
      </c>
      <c r="D16" s="3">
        <v>5</v>
      </c>
      <c r="E16" s="4">
        <f>COUNTIF(B5:B46,5)</f>
        <v>18</v>
      </c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tabSelected="1" topLeftCell="A3" workbookViewId="0">
      <selection activeCell="D36" sqref="D36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77.33203125" bestFit="1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>
        <f>COUNTA(A5:A46)</f>
        <v>42</v>
      </c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>
        <f>COUNTIF(B5:B46,"App")</f>
        <v>11</v>
      </c>
      <c r="F6" s="8">
        <f>(E6/E3)</f>
        <v>0.26190476190476192</v>
      </c>
      <c r="G6" s="7">
        <f>F6</f>
        <v>0.26190476190476192</v>
      </c>
    </row>
    <row r="7" spans="1:7" x14ac:dyDescent="0.3">
      <c r="A7" t="s">
        <v>58</v>
      </c>
      <c r="B7" t="s">
        <v>112</v>
      </c>
      <c r="D7" s="3" t="s">
        <v>111</v>
      </c>
      <c r="E7" s="4">
        <f>COUNTIF(B5:B46,"Web")</f>
        <v>17</v>
      </c>
      <c r="F7" s="8">
        <f>(E7/E3)</f>
        <v>0.40476190476190477</v>
      </c>
      <c r="G7" s="7">
        <f t="shared" ref="G7:G9" si="0">F7</f>
        <v>0.40476190476190477</v>
      </c>
    </row>
    <row r="8" spans="1:7" x14ac:dyDescent="0.3">
      <c r="A8" t="s">
        <v>59</v>
      </c>
      <c r="B8" t="s">
        <v>111</v>
      </c>
      <c r="D8" s="3" t="s">
        <v>112</v>
      </c>
      <c r="E8" s="4">
        <f>COUNTIF(B5:B46,"Tienda")</f>
        <v>14</v>
      </c>
      <c r="F8" s="8">
        <f>(E8/E3)</f>
        <v>0.33333333333333331</v>
      </c>
      <c r="G8" s="7">
        <f t="shared" si="0"/>
        <v>0.33333333333333331</v>
      </c>
    </row>
    <row r="9" spans="1:7" x14ac:dyDescent="0.3">
      <c r="A9" t="s">
        <v>60</v>
      </c>
      <c r="B9" t="s">
        <v>112</v>
      </c>
      <c r="D9" s="2" t="s">
        <v>143</v>
      </c>
      <c r="E9" s="4">
        <f>SUM(E6:E8)</f>
        <v>42</v>
      </c>
      <c r="F9" s="8">
        <f>SUM(F6:F8)</f>
        <v>1</v>
      </c>
      <c r="G9" s="7">
        <f t="shared" si="0"/>
        <v>1</v>
      </c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119</cp:lastModifiedBy>
  <dcterms:created xsi:type="dcterms:W3CDTF">2026-03-08T23:16:31Z</dcterms:created>
  <dcterms:modified xsi:type="dcterms:W3CDTF">2026-03-09T11:52:06Z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2026-03-09T08:47:28Z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7f40aa99-289c-44c9-9a75-a20a5e834b61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